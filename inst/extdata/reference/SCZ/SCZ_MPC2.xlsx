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xr:revisionPtr revIDLastSave="46" documentId="8_{0BD0E030-392B-7848-A3CC-5FE7CCD95F58}" xr6:coauthVersionLast="47" xr6:coauthVersionMax="47" xr10:uidLastSave="{68ACDEC2-D16C-1440-A162-5EBC341002E2}"/>
  <bookViews>
    <workbookView xWindow="45460" yWindow="11100" windowWidth="27640" windowHeight="16680" xr2:uid="{113F984D-40FC-B04F-A102-C6A57B7A3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<sst xmlns="http://schemas.openxmlformats.org/spreadsheetml/2006/main" count="50" uniqueCount="44">
  <si>
    <t>ID</t>
    <phoneticPr fontId="0" type="noConversion"/>
  </si>
  <si>
    <t>Symbol</t>
    <phoneticPr fontId="0" type="noConversion"/>
  </si>
  <si>
    <t>ENSG00000099381</t>
  </si>
  <si>
    <t>SETD1A</t>
  </si>
  <si>
    <t>ENSG00000130227</t>
  </si>
  <si>
    <t>XPO7</t>
  </si>
  <si>
    <t>ENSG00000118007</t>
  </si>
  <si>
    <t>STAG1</t>
  </si>
  <si>
    <t>ENSG00000125675</t>
  </si>
  <si>
    <t>GRIA3</t>
  </si>
  <si>
    <t>ENSG00000157103</t>
  </si>
  <si>
    <t>SLC6A1</t>
  </si>
  <si>
    <t>ENSG00000183454</t>
  </si>
  <si>
    <t>GRIN2A</t>
  </si>
  <si>
    <t>ENSG00000048828</t>
  </si>
  <si>
    <t>FAM120A</t>
  </si>
  <si>
    <t>ENSG00000121741</t>
  </si>
  <si>
    <t>ZMYM2</t>
  </si>
  <si>
    <t>ENSG00000126214</t>
  </si>
  <si>
    <t>KLC1</t>
  </si>
  <si>
    <t>CM2_CO</t>
    <phoneticPr fontId="0" type="noConversion"/>
  </si>
  <si>
    <t>CM2_ORo</t>
    <phoneticPr fontId="0" type="noConversion"/>
  </si>
  <si>
    <t>CM2_OR</t>
    <phoneticPr fontId="0" type="noConversion"/>
  </si>
  <si>
    <t>CM2_ORl</t>
    <phoneticPr fontId="0" type="noConversion"/>
  </si>
  <si>
    <t>CM2_ORu</t>
    <phoneticPr fontId="0" type="noConversion"/>
  </si>
  <si>
    <t>CM2_P</t>
    <phoneticPr fontId="0" type="noConversion"/>
  </si>
  <si>
    <t>FMC</t>
    <phoneticPr fontId="0" type="noConversion"/>
  </si>
  <si>
    <t>FM_P</t>
    <phoneticPr fontId="0" type="noConversion"/>
  </si>
  <si>
    <t>FM_Q</t>
    <phoneticPr fontId="0" type="noConversion"/>
  </si>
  <si>
    <t>4.2 (2, 8.9)</t>
  </si>
  <si>
    <t>PTV+MPC&gt;2</t>
  </si>
  <si>
    <t>1.3 (0.6, 2.6)</t>
  </si>
  <si>
    <t>PTV+MPC&gt;3</t>
  </si>
  <si>
    <t>4.4 (2.2, 9.1)</t>
  </si>
  <si>
    <t>1.7 (0.9, 3.1)</t>
  </si>
  <si>
    <t>2.9 (1.5, 5.6)</t>
  </si>
  <si>
    <t>MPC&gt;2</t>
  </si>
  <si>
    <t>2.6 (1.4, 4.9)</t>
  </si>
  <si>
    <t>1.3 (0.7, 2.6)</t>
  </si>
  <si>
    <t>2.9 (0.7, 13.1)</t>
  </si>
  <si>
    <t>5 (2.1, 11.9)</t>
  </si>
  <si>
    <t>CM2_CA</t>
  </si>
  <si>
    <t>CAM2_freq</t>
  </si>
  <si>
    <t>COM2_freq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</si>
</sst>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952-1B14-024E-B2AF-54870E6C9FDD}">
  <dimension ref="A1:N10"/>
  <sheetViews>
    <sheetView tabSelected="1" workbookViewId="0">
      <selection activeCell="Q10" sqref="Q10"/>
    </sheetView>
  </sheetViews>
  <sheetFormatPr baseColWidth="10" defaultRowHeight="16" x14ac:dyDescent="0.2"/>
  <cols>
    <col min="7" max="10" width="10.83203125" style="3"/>
  </cols>
  <sheetData>
    <row r="1" spans="1:14" s="1" customFormat="1" x14ac:dyDescent="0.2">
      <c r="A1" s="1" t="s">
        <v>0</v>
      </c>
      <c r="B1" s="1" t="s">
        <v>1</v>
      </c>
      <c r="C1" s="1" t="s">
        <v>41</v>
      </c>
      <c r="D1" s="1" t="s">
        <v>20</v>
      </c>
      <c r="E1" s="1" t="s">
        <v>42</v>
      </c>
      <c r="F1" s="1" t="s">
        <v>43</v>
      </c>
      <c r="G1" s="2" t="s">
        <v>21</v>
      </c>
      <c r="H1" s="2" t="s">
        <v>22</v>
      </c>
      <c r="I1" s="2" t="s">
        <v>23</v>
      </c>
      <c r="J1" s="2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s="1" customFormat="1" x14ac:dyDescent="0.2">
      <c r="A2" s="1" t="s">
        <v>2</v>
      </c>
      <c r="B2" s="1" t="s">
        <v>3</v>
      </c>
      <c r="C2" s="1">
        <v>19</v>
      </c>
      <c r="D2" s="1">
        <v>16</v>
      </c>
      <c r="E2" s="1">
        <f>C2/28898</f>
        <v>6.5748494705515951E-4</v>
      </c>
      <c r="F2" s="1">
        <f>D2/103041</f>
        <v>1.5527799613745984E-4</v>
      </c>
      <c r="G2" s="2" t="s">
        <v>29</v>
      </c>
      <c r="H2" s="1">
        <v>4.2</v>
      </c>
      <c r="I2" s="1">
        <v>2</v>
      </c>
      <c r="J2" s="1">
        <v>8.9</v>
      </c>
      <c r="K2" s="1">
        <v>1.7100000000000001E-4</v>
      </c>
      <c r="L2" s="1" t="s">
        <v>30</v>
      </c>
      <c r="M2" s="1">
        <v>2.2499999999999999E-14</v>
      </c>
      <c r="N2" s="1">
        <v>6.9E-10</v>
      </c>
    </row>
    <row r="3" spans="1:14" s="1" customFormat="1" x14ac:dyDescent="0.2">
      <c r="A3" s="1" t="s">
        <v>4</v>
      </c>
      <c r="B3" s="1" t="s">
        <v>5</v>
      </c>
      <c r="C3" s="1">
        <v>11</v>
      </c>
      <c r="D3" s="1">
        <v>34</v>
      </c>
      <c r="E3" s="1">
        <f t="shared" ref="E3:E10" si="0">C3/28898</f>
        <v>3.806491798740397E-4</v>
      </c>
      <c r="F3" s="1">
        <f t="shared" ref="F3:F10" si="1">D3/103041</f>
        <v>3.2996574179210218E-4</v>
      </c>
      <c r="G3" s="2" t="s">
        <v>31</v>
      </c>
      <c r="H3" s="1">
        <v>1.3</v>
      </c>
      <c r="I3" s="1">
        <v>0.6</v>
      </c>
      <c r="J3" s="1">
        <v>2.6</v>
      </c>
      <c r="K3" s="1">
        <v>0.64800000000000002</v>
      </c>
      <c r="L3" s="1" t="s">
        <v>32</v>
      </c>
      <c r="M3" s="1">
        <v>1.3600000000000001E-9</v>
      </c>
      <c r="N3" s="1">
        <v>1.0499999999999999E-5</v>
      </c>
    </row>
    <row r="4" spans="1:14" s="1" customFormat="1" x14ac:dyDescent="0.2">
      <c r="A4" s="1" t="s">
        <v>6</v>
      </c>
      <c r="B4" s="1" t="s">
        <v>7</v>
      </c>
      <c r="C4" s="1">
        <v>17</v>
      </c>
      <c r="D4" s="1">
        <v>18</v>
      </c>
      <c r="E4" s="1">
        <f t="shared" si="0"/>
        <v>5.8827600525987954E-4</v>
      </c>
      <c r="F4" s="1">
        <f t="shared" si="1"/>
        <v>1.7468774565464234E-4</v>
      </c>
      <c r="G4" s="2" t="s">
        <v>33</v>
      </c>
      <c r="H4" s="1">
        <v>4.4000000000000004</v>
      </c>
      <c r="I4" s="1">
        <v>2.2000000000000002</v>
      </c>
      <c r="J4" s="1">
        <v>9.1</v>
      </c>
      <c r="K4" s="1">
        <v>5.3300000000000001E-5</v>
      </c>
      <c r="L4" s="1" t="s">
        <v>30</v>
      </c>
      <c r="M4" s="1">
        <v>3.6500000000000003E-8</v>
      </c>
      <c r="N4" s="1">
        <v>1.3999999999999999E-4</v>
      </c>
    </row>
    <row r="5" spans="1:14" s="1" customFormat="1" x14ac:dyDescent="0.2">
      <c r="A5" s="1" t="s">
        <v>8</v>
      </c>
      <c r="B5" s="1" t="s">
        <v>9</v>
      </c>
      <c r="C5" s="1">
        <v>15</v>
      </c>
      <c r="D5" s="1">
        <v>30</v>
      </c>
      <c r="E5" s="1">
        <f t="shared" si="0"/>
        <v>5.1906706346459958E-4</v>
      </c>
      <c r="F5" s="1">
        <f t="shared" si="1"/>
        <v>2.9114624275773719E-4</v>
      </c>
      <c r="G5" s="2" t="s">
        <v>34</v>
      </c>
      <c r="H5" s="1">
        <v>1.7</v>
      </c>
      <c r="I5" s="1">
        <v>0.9</v>
      </c>
      <c r="J5" s="1">
        <v>3.1</v>
      </c>
      <c r="K5" s="1">
        <v>0.114</v>
      </c>
      <c r="L5" s="1" t="s">
        <v>32</v>
      </c>
      <c r="M5" s="1">
        <v>7.3200000000000004E-7</v>
      </c>
      <c r="N5" s="1">
        <v>1.73E-3</v>
      </c>
    </row>
    <row r="6" spans="1:14" s="1" customFormat="1" x14ac:dyDescent="0.2">
      <c r="A6" s="1" t="s">
        <v>10</v>
      </c>
      <c r="B6" s="1" t="s">
        <v>11</v>
      </c>
      <c r="C6" s="1">
        <v>18</v>
      </c>
      <c r="D6" s="1">
        <v>21</v>
      </c>
      <c r="E6" s="1">
        <f t="shared" si="0"/>
        <v>6.2288047615751958E-4</v>
      </c>
      <c r="F6" s="1">
        <f t="shared" si="1"/>
        <v>2.0380236993041605E-4</v>
      </c>
      <c r="G6" s="2" t="s">
        <v>35</v>
      </c>
      <c r="H6" s="1">
        <v>2.9</v>
      </c>
      <c r="I6" s="1">
        <v>1.5</v>
      </c>
      <c r="J6" s="1">
        <v>5.6</v>
      </c>
      <c r="K6" s="1">
        <v>2.2000000000000001E-3</v>
      </c>
      <c r="L6" s="1" t="s">
        <v>36</v>
      </c>
      <c r="M6" s="1">
        <v>1.9300000000000002E-6</v>
      </c>
      <c r="N6" s="1">
        <v>3.49E-3</v>
      </c>
    </row>
    <row r="7" spans="1:14" s="1" customFormat="1" x14ac:dyDescent="0.2">
      <c r="A7" s="1" t="s">
        <v>12</v>
      </c>
      <c r="B7" s="1" t="s">
        <v>13</v>
      </c>
      <c r="C7" s="1">
        <v>18</v>
      </c>
      <c r="D7" s="1">
        <v>24</v>
      </c>
      <c r="E7" s="1">
        <f t="shared" si="0"/>
        <v>6.2288047615751958E-4</v>
      </c>
      <c r="F7" s="1">
        <f t="shared" si="1"/>
        <v>2.3291699420618976E-4</v>
      </c>
      <c r="G7" s="2" t="s">
        <v>37</v>
      </c>
      <c r="H7" s="1">
        <v>2.6</v>
      </c>
      <c r="I7" s="1">
        <v>1.4</v>
      </c>
      <c r="J7" s="1">
        <v>4.9000000000000004</v>
      </c>
      <c r="K7" s="1">
        <v>1.6900000000000001E-3</v>
      </c>
      <c r="L7" s="1" t="s">
        <v>32</v>
      </c>
      <c r="M7" s="1">
        <v>2.4200000000000001E-6</v>
      </c>
      <c r="N7" s="1">
        <v>4.1200000000000004E-3</v>
      </c>
    </row>
    <row r="8" spans="1:14" s="1" customFormat="1" x14ac:dyDescent="0.2">
      <c r="A8" s="1" t="s">
        <v>14</v>
      </c>
      <c r="B8" s="1" t="s">
        <v>15</v>
      </c>
      <c r="C8" s="1">
        <v>13</v>
      </c>
      <c r="D8" s="1">
        <v>27</v>
      </c>
      <c r="E8" s="1">
        <f t="shared" si="0"/>
        <v>4.4985812166931967E-4</v>
      </c>
      <c r="F8" s="1">
        <f t="shared" si="1"/>
        <v>2.6203161848196348E-4</v>
      </c>
      <c r="G8" s="2" t="s">
        <v>38</v>
      </c>
      <c r="H8" s="1">
        <v>1.3</v>
      </c>
      <c r="I8" s="1">
        <v>0.7</v>
      </c>
      <c r="J8" s="1">
        <v>2.6</v>
      </c>
      <c r="K8" s="1">
        <v>0.52600000000000002</v>
      </c>
      <c r="L8" s="1" t="s">
        <v>32</v>
      </c>
      <c r="M8" s="1">
        <v>6.5400000000000001E-6</v>
      </c>
      <c r="N8" s="1">
        <v>8.3599999999999994E-3</v>
      </c>
    </row>
    <row r="9" spans="1:14" s="1" customFormat="1" x14ac:dyDescent="0.2">
      <c r="A9" s="1" t="s">
        <v>16</v>
      </c>
      <c r="B9" s="1" t="s">
        <v>17</v>
      </c>
      <c r="C9" s="1">
        <v>3</v>
      </c>
      <c r="D9" s="1">
        <v>4</v>
      </c>
      <c r="E9" s="1">
        <f t="shared" si="0"/>
        <v>1.0381341269291992E-4</v>
      </c>
      <c r="F9" s="1">
        <f t="shared" si="1"/>
        <v>3.8819499034364961E-5</v>
      </c>
      <c r="G9" s="2" t="s">
        <v>39</v>
      </c>
      <c r="H9" s="1">
        <v>2.9</v>
      </c>
      <c r="I9" s="1">
        <v>0.7</v>
      </c>
      <c r="J9" s="1">
        <v>13.1</v>
      </c>
      <c r="K9" s="1">
        <v>0.26300000000000001</v>
      </c>
      <c r="L9" s="1" t="s">
        <v>30</v>
      </c>
      <c r="M9" s="1">
        <v>1.0699999999999999E-5</v>
      </c>
      <c r="N9" s="1">
        <v>1.2699999999999999E-2</v>
      </c>
    </row>
    <row r="10" spans="1:14" s="1" customFormat="1" x14ac:dyDescent="0.2">
      <c r="A10" s="1" t="s">
        <v>18</v>
      </c>
      <c r="B10" s="1" t="s">
        <v>19</v>
      </c>
      <c r="C10" s="1">
        <v>16</v>
      </c>
      <c r="D10" s="1">
        <v>11</v>
      </c>
      <c r="E10" s="1">
        <f t="shared" si="0"/>
        <v>5.5367153436223962E-4</v>
      </c>
      <c r="F10" s="1">
        <f t="shared" si="1"/>
        <v>1.0675362234450365E-4</v>
      </c>
      <c r="G10" s="2" t="s">
        <v>40</v>
      </c>
      <c r="H10" s="1">
        <v>5</v>
      </c>
      <c r="I10" s="1">
        <v>2.1</v>
      </c>
      <c r="J10" s="1">
        <v>11.9</v>
      </c>
      <c r="K10" s="1">
        <v>4.9700000000000002E-5</v>
      </c>
      <c r="L10" s="1" t="s">
        <v>36</v>
      </c>
      <c r="M10" s="1">
        <v>4.9700000000000002E-5</v>
      </c>
      <c r="N10" s="1">
        <v>4.24E-2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2026-07-15T08:51:30Z</dcterms:created>
  <dcterms:modified xsi:type="dcterms:W3CDTF">2026-07-15T10:05:23Z</dcterms:modified>
</cp:coreProperties>
</file>