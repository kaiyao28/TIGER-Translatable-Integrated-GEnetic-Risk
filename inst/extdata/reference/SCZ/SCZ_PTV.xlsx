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xr:revisionPtr revIDLastSave="51" documentId="8_{0BD0E030-392B-7848-A3CC-5FE7CCD95F58}" xr6:coauthVersionLast="47" xr6:coauthVersionMax="47" xr10:uidLastSave="{5089273D-D174-EE41-9A1E-00C370C8A33E}"/>
  <bookViews>
    <workbookView xWindow="45000" yWindow="6320" windowWidth="27640" windowHeight="16680" xr2:uid="{113F984D-40FC-B04F-A102-C6A57B7A3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F2" i="1"/>
  <c r="E2" i="1"/>
</calcChain>
</file>

<file path=xl/sharedStrings.xml><?xml version="1.0" encoding="utf-8"?>
<sst xmlns="http://schemas.openxmlformats.org/spreadsheetml/2006/main" count="106" uniqueCount="86">
  <si>
    <t>ID</t>
    <phoneticPr fontId="0" type="noConversion"/>
  </si>
  <si>
    <t>Symbol</t>
    <phoneticPr fontId="0" type="noConversion"/>
  </si>
  <si>
    <t>ENSG00000099381</t>
  </si>
  <si>
    <t>SETD1A</t>
  </si>
  <si>
    <t>ENSG00000130227</t>
  </si>
  <si>
    <t>XPO7</t>
  </si>
  <si>
    <t>ENSG00000103657</t>
  </si>
  <si>
    <t>HERC1</t>
  </si>
  <si>
    <t>ENSG00000118007</t>
  </si>
  <si>
    <t>STAG1</t>
  </si>
  <si>
    <t>ENSG00000055130</t>
  </si>
  <si>
    <t>CUL1</t>
  </si>
  <si>
    <t>ENSG00000038382</t>
  </si>
  <si>
    <t>TRIO</t>
  </si>
  <si>
    <t>ENSG00000167978</t>
  </si>
  <si>
    <t>SRRM2</t>
  </si>
  <si>
    <t>ENSG00000196646</t>
  </si>
  <si>
    <t>ZNF136</t>
  </si>
  <si>
    <t>ENSG00000023516</t>
  </si>
  <si>
    <t>AKAP11</t>
  </si>
  <si>
    <t>ENSG00000105866</t>
  </si>
  <si>
    <t>SP4</t>
  </si>
  <si>
    <t>ENSG00000183454</t>
  </si>
  <si>
    <t>GRIN2A</t>
  </si>
  <si>
    <t>ENSG00000186472</t>
  </si>
  <si>
    <t>PCLO</t>
  </si>
  <si>
    <t>ENSG00000023287</t>
  </si>
  <si>
    <t>RB1CC1</t>
  </si>
  <si>
    <t>ENSG00000048828</t>
  </si>
  <si>
    <t>FAM120A</t>
  </si>
  <si>
    <t>ENSG00000155495</t>
  </si>
  <si>
    <t>MAGEC1</t>
  </si>
  <si>
    <t>ENSG00000121741</t>
  </si>
  <si>
    <t>ZMYM2</t>
  </si>
  <si>
    <t>ENSG00000015171</t>
  </si>
  <si>
    <t>ZMYND11</t>
  </si>
  <si>
    <t>ENSG00000168000</t>
  </si>
  <si>
    <t>BSCL2</t>
  </si>
  <si>
    <t>ENSG00000168298</t>
  </si>
  <si>
    <t>HIST1H1E</t>
  </si>
  <si>
    <t>ENSG00000101745</t>
  </si>
  <si>
    <t>ANKRD12</t>
  </si>
  <si>
    <t>ENSG00000138028</t>
  </si>
  <si>
    <t>CGREF1</t>
  </si>
  <si>
    <t>ENSG00000181927</t>
  </si>
  <si>
    <t>OR4P4</t>
  </si>
  <si>
    <t>ENSG00000187391</t>
  </si>
  <si>
    <t>MAGI2</t>
  </si>
  <si>
    <t>CP_CA</t>
    <phoneticPr fontId="0" type="noConversion"/>
  </si>
  <si>
    <t>CP_CO</t>
    <phoneticPr fontId="0" type="noConversion"/>
  </si>
  <si>
    <t>CP_ORo</t>
    <phoneticPr fontId="0" type="noConversion"/>
  </si>
  <si>
    <t>CP_OR</t>
    <phoneticPr fontId="0" type="noConversion"/>
  </si>
  <si>
    <t>CP_ORl</t>
    <phoneticPr fontId="0" type="noConversion"/>
  </si>
  <si>
    <t>CP_ORu</t>
    <phoneticPr fontId="0" type="noConversion"/>
  </si>
  <si>
    <t>CP_P</t>
    <phoneticPr fontId="0" type="noConversion"/>
  </si>
  <si>
    <t>FMC</t>
    <phoneticPr fontId="0" type="noConversion"/>
  </si>
  <si>
    <t>FM_P</t>
    <phoneticPr fontId="0" type="noConversion"/>
  </si>
  <si>
    <t>FM_Q</t>
    <phoneticPr fontId="0" type="noConversion"/>
  </si>
  <si>
    <t>9.6 (3.2, 28.6)</t>
  </si>
  <si>
    <t>PTV+MPC&gt;2</t>
  </si>
  <si>
    <t>64.6 (6.6, 627.7)</t>
  </si>
  <si>
    <t>PTV+MPC&gt;3</t>
  </si>
  <si>
    <t>4.2 (2.5, 7.1)</t>
  </si>
  <si>
    <t>PTV</t>
  </si>
  <si>
    <t>13.9 (2.9, 66.7)</t>
  </si>
  <si>
    <t>15.1 (2.3, 99)</t>
  </si>
  <si>
    <t>5 (2.5, 10.2)</t>
  </si>
  <si>
    <t>6.4 (2.8, 14.7)</t>
    <phoneticPr fontId="0" type="noConversion"/>
  </si>
  <si>
    <t>4.4 (2.4, 8.1)</t>
  </si>
  <si>
    <t>6.9 (3.1, 15.5)</t>
  </si>
  <si>
    <t>6.9 (2.6, 18.2)</t>
  </si>
  <si>
    <t>18.3 (3, 112)</t>
  </si>
  <si>
    <t>4.5 (2.3, 8.6)</t>
  </si>
  <si>
    <t>5.8 (2, 17.1)</t>
  </si>
  <si>
    <t>30.8 (3.3, 284.6)</t>
  </si>
  <si>
    <t>2.6 (1.7, 3.9)</t>
  </si>
  <si>
    <t>4 (2, 8.4)</t>
  </si>
  <si>
    <t>7.8 (2, 29.5)</t>
  </si>
  <si>
    <t>4.5 (2.1, 9.4)</t>
  </si>
  <si>
    <t>6 (1.7, 20.7)</t>
  </si>
  <si>
    <t>3.3 (1.8, 5.9)</t>
  </si>
  <si>
    <t>3.2 (1.8, 5.6)</t>
  </si>
  <si>
    <t>6.6 (2, 21.8)</t>
  </si>
  <si>
    <t>10.4 (3, 35.5)</t>
  </si>
  <si>
    <t>CAP_freq</t>
  </si>
  <si>
    <t>COP_freq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</si>
</sst>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4952-1B14-024E-B2AF-54870E6C9FDD}">
  <dimension ref="A1:N24"/>
  <sheetViews>
    <sheetView tabSelected="1" workbookViewId="0">
      <selection activeCell="Q14" sqref="Q14"/>
    </sheetView>
  </sheetViews>
  <sheetFormatPr baseColWidth="10" defaultRowHeight="16" x14ac:dyDescent="0.2"/>
  <cols>
    <col min="6" max="6" width="12.1640625" bestFit="1" customWidth="1"/>
    <col min="8" max="11" width="10.83203125" style="3"/>
  </cols>
  <sheetData>
    <row r="1" spans="1:14" s="1" customFormat="1" x14ac:dyDescent="0.2">
      <c r="A1" s="1" t="s">
        <v>0</v>
      </c>
      <c r="B1" s="1" t="s">
        <v>1</v>
      </c>
      <c r="C1" s="1" t="s">
        <v>48</v>
      </c>
      <c r="D1" s="1" t="s">
        <v>49</v>
      </c>
      <c r="E1" s="1" t="s">
        <v>84</v>
      </c>
      <c r="F1" s="1" t="s">
        <v>85</v>
      </c>
      <c r="G1" s="1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1" t="s">
        <v>55</v>
      </c>
      <c r="M1" s="1" t="s">
        <v>56</v>
      </c>
      <c r="N1" s="1" t="s">
        <v>57</v>
      </c>
    </row>
    <row r="2" spans="1:14" s="1" customFormat="1" x14ac:dyDescent="0.2">
      <c r="A2" s="1" t="s">
        <v>2</v>
      </c>
      <c r="B2" s="1" t="s">
        <v>3</v>
      </c>
      <c r="C2" s="1">
        <v>18</v>
      </c>
      <c r="D2" s="1">
        <v>3</v>
      </c>
      <c r="E2" s="1">
        <f>C2/28898</f>
        <v>6.2288047615751958E-4</v>
      </c>
      <c r="F2" s="1">
        <f>D2/103041</f>
        <v>2.9114624275773721E-5</v>
      </c>
      <c r="G2" s="1" t="s">
        <v>58</v>
      </c>
      <c r="H2" s="1">
        <v>9.6</v>
      </c>
      <c r="I2" s="1">
        <v>3.2</v>
      </c>
      <c r="J2" s="1">
        <v>28.6</v>
      </c>
      <c r="K2" s="2">
        <v>1.02E-8</v>
      </c>
      <c r="L2" s="1" t="s">
        <v>59</v>
      </c>
      <c r="M2" s="1">
        <v>2.2499999999999999E-14</v>
      </c>
      <c r="N2" s="1">
        <v>6.9E-10</v>
      </c>
    </row>
    <row r="3" spans="1:14" s="1" customFormat="1" x14ac:dyDescent="0.2">
      <c r="A3" s="1" t="s">
        <v>4</v>
      </c>
      <c r="B3" s="1" t="s">
        <v>5</v>
      </c>
      <c r="C3" s="1">
        <v>16</v>
      </c>
      <c r="D3" s="1">
        <v>1</v>
      </c>
      <c r="E3" s="1">
        <f t="shared" ref="E3:E24" si="0">C3/28898</f>
        <v>5.5367153436223962E-4</v>
      </c>
      <c r="F3" s="1">
        <f t="shared" ref="F3:F24" si="1">D3/103041</f>
        <v>9.7048747585912402E-6</v>
      </c>
      <c r="G3" s="1" t="s">
        <v>60</v>
      </c>
      <c r="H3" s="1">
        <v>64.599999999999994</v>
      </c>
      <c r="I3" s="1">
        <v>6.6</v>
      </c>
      <c r="J3" s="1">
        <v>627.70000000000005</v>
      </c>
      <c r="K3" s="2">
        <v>3.2599999999999999E-9</v>
      </c>
      <c r="L3" s="1" t="s">
        <v>61</v>
      </c>
      <c r="M3" s="1">
        <v>1.3600000000000001E-9</v>
      </c>
      <c r="N3" s="1">
        <v>1.0499999999999999E-5</v>
      </c>
    </row>
    <row r="4" spans="1:14" s="1" customFormat="1" x14ac:dyDescent="0.2">
      <c r="A4" s="1" t="s">
        <v>6</v>
      </c>
      <c r="B4" s="1" t="s">
        <v>7</v>
      </c>
      <c r="C4" s="1">
        <v>32</v>
      </c>
      <c r="D4" s="1">
        <v>32</v>
      </c>
      <c r="E4" s="1">
        <f t="shared" si="0"/>
        <v>1.1073430687244792E-3</v>
      </c>
      <c r="F4" s="1">
        <f t="shared" si="1"/>
        <v>3.1055599227491969E-4</v>
      </c>
      <c r="G4" s="1" t="s">
        <v>62</v>
      </c>
      <c r="H4" s="1">
        <v>4.2</v>
      </c>
      <c r="I4" s="1">
        <v>2.5</v>
      </c>
      <c r="J4" s="1">
        <v>7.1</v>
      </c>
      <c r="K4" s="2">
        <v>1.42E-8</v>
      </c>
      <c r="L4" s="1" t="s">
        <v>63</v>
      </c>
      <c r="M4" s="1">
        <v>1.42E-8</v>
      </c>
      <c r="N4" s="1">
        <v>7.2399999999999998E-5</v>
      </c>
    </row>
    <row r="5" spans="1:14" s="1" customFormat="1" x14ac:dyDescent="0.2">
      <c r="A5" s="1" t="s">
        <v>8</v>
      </c>
      <c r="B5" s="1" t="s">
        <v>9</v>
      </c>
      <c r="C5" s="1">
        <v>7</v>
      </c>
      <c r="D5" s="1">
        <v>3</v>
      </c>
      <c r="E5" s="1">
        <f t="shared" si="0"/>
        <v>2.4223129628347983E-4</v>
      </c>
      <c r="F5" s="1">
        <f t="shared" si="1"/>
        <v>2.9114624275773721E-5</v>
      </c>
      <c r="G5" s="1" t="s">
        <v>64</v>
      </c>
      <c r="H5" s="1">
        <v>13.9</v>
      </c>
      <c r="I5" s="1">
        <v>2.9</v>
      </c>
      <c r="J5" s="1">
        <v>66.7</v>
      </c>
      <c r="K5" s="2">
        <v>1.93E-4</v>
      </c>
      <c r="L5" s="1" t="s">
        <v>59</v>
      </c>
      <c r="M5" s="1">
        <v>3.6500000000000003E-8</v>
      </c>
      <c r="N5" s="1">
        <v>1.3999999999999999E-4</v>
      </c>
    </row>
    <row r="6" spans="1:14" s="1" customFormat="1" x14ac:dyDescent="0.2">
      <c r="A6" s="1" t="s">
        <v>10</v>
      </c>
      <c r="B6" s="1" t="s">
        <v>11</v>
      </c>
      <c r="C6" s="1">
        <v>8</v>
      </c>
      <c r="D6" s="1">
        <v>1</v>
      </c>
      <c r="E6" s="1">
        <f t="shared" si="0"/>
        <v>2.7683576718111981E-4</v>
      </c>
      <c r="F6" s="1">
        <f t="shared" si="1"/>
        <v>9.7048747585912402E-6</v>
      </c>
      <c r="G6" s="1" t="s">
        <v>65</v>
      </c>
      <c r="H6" s="1">
        <v>15.1</v>
      </c>
      <c r="I6" s="1">
        <v>2.2999999999999998</v>
      </c>
      <c r="J6" s="1">
        <v>99</v>
      </c>
      <c r="K6" s="2">
        <v>8.7700000000000004E-5</v>
      </c>
      <c r="L6" s="1" t="s">
        <v>63</v>
      </c>
      <c r="M6" s="1">
        <v>3.6599999999999997E-8</v>
      </c>
      <c r="N6" s="1">
        <v>1.3999999999999999E-4</v>
      </c>
    </row>
    <row r="7" spans="1:14" s="1" customFormat="1" x14ac:dyDescent="0.2">
      <c r="A7" s="1" t="s">
        <v>12</v>
      </c>
      <c r="B7" s="1" t="s">
        <v>13</v>
      </c>
      <c r="C7" s="1">
        <v>18</v>
      </c>
      <c r="D7" s="1">
        <v>17</v>
      </c>
      <c r="E7" s="1">
        <f t="shared" si="0"/>
        <v>6.2288047615751958E-4</v>
      </c>
      <c r="F7" s="1">
        <f t="shared" si="1"/>
        <v>1.6498287089605109E-4</v>
      </c>
      <c r="G7" s="1" t="s">
        <v>66</v>
      </c>
      <c r="H7" s="1">
        <v>5</v>
      </c>
      <c r="I7" s="1">
        <v>2.5</v>
      </c>
      <c r="J7" s="1">
        <v>10.199999999999999</v>
      </c>
      <c r="K7" s="2">
        <v>1.59E-6</v>
      </c>
      <c r="L7" s="1" t="s">
        <v>63</v>
      </c>
      <c r="M7" s="1">
        <v>5.4300000000000003E-8</v>
      </c>
      <c r="N7" s="1">
        <v>1.7699999999999999E-4</v>
      </c>
    </row>
    <row r="8" spans="1:14" s="1" customFormat="1" x14ac:dyDescent="0.2">
      <c r="A8" s="1" t="s">
        <v>14</v>
      </c>
      <c r="B8" s="1" t="s">
        <v>15</v>
      </c>
      <c r="C8" s="1">
        <v>21</v>
      </c>
      <c r="D8" s="1">
        <v>9</v>
      </c>
      <c r="E8" s="1">
        <f t="shared" si="0"/>
        <v>7.2669388885043948E-4</v>
      </c>
      <c r="F8" s="1">
        <f t="shared" si="1"/>
        <v>8.7343872827321168E-5</v>
      </c>
      <c r="G8" s="1" t="s">
        <v>67</v>
      </c>
      <c r="H8" s="1">
        <v>6.4</v>
      </c>
      <c r="I8" s="1">
        <v>2.8</v>
      </c>
      <c r="J8" s="1">
        <v>14.7</v>
      </c>
      <c r="K8" s="2">
        <v>3.5400000000000002E-7</v>
      </c>
      <c r="L8" s="1" t="s">
        <v>63</v>
      </c>
      <c r="M8" s="1">
        <v>3.5400000000000002E-7</v>
      </c>
      <c r="N8" s="1">
        <v>9.8799999999999995E-4</v>
      </c>
    </row>
    <row r="9" spans="1:14" s="1" customFormat="1" x14ac:dyDescent="0.2">
      <c r="A9" s="1" t="s">
        <v>16</v>
      </c>
      <c r="B9" s="1" t="s">
        <v>17</v>
      </c>
      <c r="C9" s="1">
        <v>26</v>
      </c>
      <c r="D9" s="1">
        <v>25</v>
      </c>
      <c r="E9" s="1">
        <f t="shared" si="0"/>
        <v>8.9971624333863934E-4</v>
      </c>
      <c r="F9" s="1">
        <f t="shared" si="1"/>
        <v>2.4262186896478101E-4</v>
      </c>
      <c r="G9" s="1" t="s">
        <v>68</v>
      </c>
      <c r="H9" s="1">
        <v>4.4000000000000004</v>
      </c>
      <c r="I9" s="1">
        <v>2.4</v>
      </c>
      <c r="J9" s="1">
        <v>8.1</v>
      </c>
      <c r="K9" s="2">
        <v>6.1699999999999998E-7</v>
      </c>
      <c r="L9" s="1" t="s">
        <v>63</v>
      </c>
      <c r="M9" s="1">
        <v>6.1699999999999998E-7</v>
      </c>
      <c r="N9" s="1">
        <v>1.58E-3</v>
      </c>
    </row>
    <row r="10" spans="1:14" s="1" customFormat="1" x14ac:dyDescent="0.2">
      <c r="A10" s="1" t="s">
        <v>18</v>
      </c>
      <c r="B10" s="1" t="s">
        <v>19</v>
      </c>
      <c r="C10" s="1">
        <v>20</v>
      </c>
      <c r="D10" s="1">
        <v>13</v>
      </c>
      <c r="E10" s="1">
        <f t="shared" si="0"/>
        <v>6.9208941795279955E-4</v>
      </c>
      <c r="F10" s="1">
        <f t="shared" si="1"/>
        <v>1.2616337186168613E-4</v>
      </c>
      <c r="G10" s="1" t="s">
        <v>69</v>
      </c>
      <c r="H10" s="1">
        <v>6.9</v>
      </c>
      <c r="I10" s="1">
        <v>3.1</v>
      </c>
      <c r="J10" s="1">
        <v>15.5</v>
      </c>
      <c r="K10" s="2">
        <v>1.0699999999999999E-6</v>
      </c>
      <c r="L10" s="1" t="s">
        <v>63</v>
      </c>
      <c r="M10" s="1">
        <v>1.0699999999999999E-6</v>
      </c>
      <c r="N10" s="1">
        <v>2.2300000000000002E-3</v>
      </c>
    </row>
    <row r="11" spans="1:14" s="1" customFormat="1" x14ac:dyDescent="0.2">
      <c r="A11" s="1" t="s">
        <v>20</v>
      </c>
      <c r="B11" s="1" t="s">
        <v>21</v>
      </c>
      <c r="C11" s="1">
        <v>16</v>
      </c>
      <c r="D11" s="1">
        <v>7</v>
      </c>
      <c r="E11" s="1">
        <f t="shared" si="0"/>
        <v>5.5367153436223962E-4</v>
      </c>
      <c r="F11" s="1">
        <f t="shared" si="1"/>
        <v>6.7934123310138688E-5</v>
      </c>
      <c r="G11" s="1" t="s">
        <v>70</v>
      </c>
      <c r="H11" s="1">
        <v>6.9</v>
      </c>
      <c r="I11" s="1">
        <v>2.6</v>
      </c>
      <c r="J11" s="1">
        <v>18.2</v>
      </c>
      <c r="K11" s="2">
        <v>1.04E-5</v>
      </c>
      <c r="L11" s="1" t="s">
        <v>63</v>
      </c>
      <c r="M11" s="1">
        <v>1.9199999999999998E-6</v>
      </c>
      <c r="N11" s="1">
        <v>3.49E-3</v>
      </c>
    </row>
    <row r="12" spans="1:14" s="1" customFormat="1" x14ac:dyDescent="0.2">
      <c r="A12" s="1" t="s">
        <v>22</v>
      </c>
      <c r="B12" s="1" t="s">
        <v>23</v>
      </c>
      <c r="C12" s="1">
        <v>10</v>
      </c>
      <c r="D12" s="1">
        <v>2</v>
      </c>
      <c r="E12" s="1">
        <f t="shared" si="0"/>
        <v>3.4604470897639977E-4</v>
      </c>
      <c r="F12" s="1">
        <f t="shared" si="1"/>
        <v>1.940974951718248E-5</v>
      </c>
      <c r="G12" s="1" t="s">
        <v>71</v>
      </c>
      <c r="H12" s="1">
        <v>18.3</v>
      </c>
      <c r="I12" s="1">
        <v>3</v>
      </c>
      <c r="J12" s="1">
        <v>112</v>
      </c>
      <c r="K12" s="2">
        <v>4.4000000000000002E-4</v>
      </c>
      <c r="L12" s="1" t="s">
        <v>61</v>
      </c>
      <c r="M12" s="1">
        <v>2.4200000000000001E-6</v>
      </c>
      <c r="N12" s="1">
        <v>4.1200000000000004E-3</v>
      </c>
    </row>
    <row r="13" spans="1:14" s="1" customFormat="1" x14ac:dyDescent="0.2">
      <c r="A13" s="1" t="s">
        <v>24</v>
      </c>
      <c r="B13" s="1" t="s">
        <v>25</v>
      </c>
      <c r="C13" s="1">
        <v>27</v>
      </c>
      <c r="D13" s="1">
        <v>21</v>
      </c>
      <c r="E13" s="1">
        <f t="shared" si="0"/>
        <v>9.3432071423627937E-4</v>
      </c>
      <c r="F13" s="1">
        <f t="shared" si="1"/>
        <v>2.0380236993041605E-4</v>
      </c>
      <c r="G13" s="1" t="s">
        <v>72</v>
      </c>
      <c r="H13" s="1">
        <v>4.5</v>
      </c>
      <c r="I13" s="1">
        <v>2.2999999999999998</v>
      </c>
      <c r="J13" s="1">
        <v>8.6</v>
      </c>
      <c r="K13" s="2">
        <v>2.6800000000000002E-6</v>
      </c>
      <c r="L13" s="1" t="s">
        <v>63</v>
      </c>
      <c r="M13" s="1">
        <v>2.6800000000000002E-6</v>
      </c>
      <c r="N13" s="1">
        <v>4.3299999999999996E-3</v>
      </c>
    </row>
    <row r="14" spans="1:14" s="1" customFormat="1" x14ac:dyDescent="0.2">
      <c r="A14" s="1" t="s">
        <v>26</v>
      </c>
      <c r="B14" s="1" t="s">
        <v>27</v>
      </c>
      <c r="C14" s="1">
        <v>11</v>
      </c>
      <c r="D14" s="1">
        <v>5</v>
      </c>
      <c r="E14" s="1">
        <f t="shared" si="0"/>
        <v>3.806491798740397E-4</v>
      </c>
      <c r="F14" s="1">
        <f t="shared" si="1"/>
        <v>4.8524373792956201E-5</v>
      </c>
      <c r="G14" s="1" t="s">
        <v>73</v>
      </c>
      <c r="H14" s="1">
        <v>5.8</v>
      </c>
      <c r="I14" s="1">
        <v>2</v>
      </c>
      <c r="J14" s="1">
        <v>17.100000000000001</v>
      </c>
      <c r="K14" s="2">
        <v>4.8999999999999998E-4</v>
      </c>
      <c r="L14" s="1" t="s">
        <v>63</v>
      </c>
      <c r="M14" s="1">
        <v>5.0699999999999997E-6</v>
      </c>
      <c r="N14" s="1">
        <v>7.2399999999999999E-3</v>
      </c>
    </row>
    <row r="15" spans="1:14" s="1" customFormat="1" x14ac:dyDescent="0.2">
      <c r="A15" s="1" t="s">
        <v>28</v>
      </c>
      <c r="B15" s="1" t="s">
        <v>29</v>
      </c>
      <c r="C15" s="1">
        <v>7</v>
      </c>
      <c r="D15" s="1">
        <v>1</v>
      </c>
      <c r="E15" s="1">
        <f t="shared" si="0"/>
        <v>2.4223129628347983E-4</v>
      </c>
      <c r="F15" s="1">
        <f t="shared" si="1"/>
        <v>9.7048747585912402E-6</v>
      </c>
      <c r="G15" s="1" t="s">
        <v>74</v>
      </c>
      <c r="H15" s="1">
        <v>30.8</v>
      </c>
      <c r="I15" s="1">
        <v>3.3</v>
      </c>
      <c r="J15" s="1">
        <v>284.60000000000002</v>
      </c>
      <c r="K15" s="2">
        <v>5.24E-5</v>
      </c>
      <c r="L15" s="1" t="s">
        <v>61</v>
      </c>
      <c r="M15" s="1">
        <v>6.5400000000000001E-6</v>
      </c>
      <c r="N15" s="1">
        <v>8.3599999999999994E-3</v>
      </c>
    </row>
    <row r="16" spans="1:14" s="1" customFormat="1" x14ac:dyDescent="0.2">
      <c r="A16" s="1" t="s">
        <v>30</v>
      </c>
      <c r="B16" s="1" t="s">
        <v>31</v>
      </c>
      <c r="C16" s="1">
        <v>40</v>
      </c>
      <c r="D16" s="1">
        <v>66</v>
      </c>
      <c r="E16" s="1">
        <f t="shared" si="0"/>
        <v>1.3841788359055991E-3</v>
      </c>
      <c r="F16" s="1">
        <f t="shared" si="1"/>
        <v>6.4052173406702192E-4</v>
      </c>
      <c r="G16" s="1" t="s">
        <v>75</v>
      </c>
      <c r="H16" s="1">
        <v>2.6</v>
      </c>
      <c r="I16" s="1">
        <v>1.7</v>
      </c>
      <c r="J16" s="1">
        <v>3.9</v>
      </c>
      <c r="K16" s="2">
        <v>7.8399999999999995E-6</v>
      </c>
      <c r="L16" s="1" t="s">
        <v>63</v>
      </c>
      <c r="M16" s="1">
        <v>7.8399999999999995E-6</v>
      </c>
      <c r="N16" s="1">
        <v>9.6200000000000001E-3</v>
      </c>
    </row>
    <row r="17" spans="1:14" s="1" customFormat="1" x14ac:dyDescent="0.2">
      <c r="A17" s="1" t="s">
        <v>32</v>
      </c>
      <c r="B17" s="1" t="s">
        <v>33</v>
      </c>
      <c r="C17" s="1">
        <v>20</v>
      </c>
      <c r="D17" s="1">
        <v>15</v>
      </c>
      <c r="E17" s="1">
        <f t="shared" si="0"/>
        <v>6.9208941795279955E-4</v>
      </c>
      <c r="F17" s="1">
        <f t="shared" si="1"/>
        <v>1.455731213788686E-4</v>
      </c>
      <c r="G17" s="1" t="s">
        <v>76</v>
      </c>
      <c r="H17" s="1">
        <v>4</v>
      </c>
      <c r="I17" s="1">
        <v>2</v>
      </c>
      <c r="J17" s="1">
        <v>8.4</v>
      </c>
      <c r="K17" s="2">
        <v>6.3499999999999999E-5</v>
      </c>
      <c r="L17" s="1" t="s">
        <v>59</v>
      </c>
      <c r="M17" s="1">
        <v>1.0699999999999999E-5</v>
      </c>
      <c r="N17" s="1">
        <v>1.2699999999999999E-2</v>
      </c>
    </row>
    <row r="18" spans="1:14" s="1" customFormat="1" x14ac:dyDescent="0.2">
      <c r="A18" s="1" t="s">
        <v>34</v>
      </c>
      <c r="B18" s="1" t="s">
        <v>35</v>
      </c>
      <c r="C18" s="1">
        <v>9</v>
      </c>
      <c r="D18" s="1">
        <v>3</v>
      </c>
      <c r="E18" s="1">
        <f t="shared" si="0"/>
        <v>3.1144023807875979E-4</v>
      </c>
      <c r="F18" s="1">
        <f t="shared" si="1"/>
        <v>2.9114624275773721E-5</v>
      </c>
      <c r="G18" s="1" t="s">
        <v>77</v>
      </c>
      <c r="H18" s="1">
        <v>7.8</v>
      </c>
      <c r="I18" s="1">
        <v>2</v>
      </c>
      <c r="J18" s="1">
        <v>29.5</v>
      </c>
      <c r="K18" s="2">
        <v>7.8499999999999997E-5</v>
      </c>
      <c r="L18" s="1" t="s">
        <v>63</v>
      </c>
      <c r="M18" s="1">
        <v>1.5999999999999999E-5</v>
      </c>
      <c r="N18" s="1">
        <v>1.7399999999999999E-2</v>
      </c>
    </row>
    <row r="19" spans="1:14" s="1" customFormat="1" x14ac:dyDescent="0.2">
      <c r="A19" s="1" t="s">
        <v>36</v>
      </c>
      <c r="B19" s="1" t="s">
        <v>37</v>
      </c>
      <c r="C19" s="1">
        <v>17</v>
      </c>
      <c r="D19" s="1">
        <v>15</v>
      </c>
      <c r="E19" s="1">
        <f t="shared" si="0"/>
        <v>5.8827600525987954E-4</v>
      </c>
      <c r="F19" s="1">
        <f t="shared" si="1"/>
        <v>1.455731213788686E-4</v>
      </c>
      <c r="G19" s="1" t="s">
        <v>78</v>
      </c>
      <c r="H19" s="1">
        <v>4.5</v>
      </c>
      <c r="I19" s="1">
        <v>2.1</v>
      </c>
      <c r="J19" s="1">
        <v>9.4</v>
      </c>
      <c r="K19" s="2">
        <v>1.9400000000000001E-5</v>
      </c>
      <c r="L19" s="1" t="s">
        <v>63</v>
      </c>
      <c r="M19" s="1">
        <v>1.9400000000000001E-5</v>
      </c>
      <c r="N19" s="1">
        <v>1.9199999999999998E-2</v>
      </c>
    </row>
    <row r="20" spans="1:14" s="1" customFormat="1" x14ac:dyDescent="0.2">
      <c r="A20" s="1" t="s">
        <v>38</v>
      </c>
      <c r="B20" s="1" t="s">
        <v>39</v>
      </c>
      <c r="C20" s="1">
        <v>7</v>
      </c>
      <c r="D20" s="1">
        <v>4</v>
      </c>
      <c r="E20" s="1">
        <f t="shared" si="0"/>
        <v>2.4223129628347983E-4</v>
      </c>
      <c r="F20" s="1">
        <f t="shared" si="1"/>
        <v>3.8819499034364961E-5</v>
      </c>
      <c r="G20" s="1" t="s">
        <v>79</v>
      </c>
      <c r="H20" s="1">
        <v>6</v>
      </c>
      <c r="I20" s="1">
        <v>1.7</v>
      </c>
      <c r="J20" s="1">
        <v>20.7</v>
      </c>
      <c r="K20" s="2">
        <v>2.48E-3</v>
      </c>
      <c r="L20" s="1" t="s">
        <v>63</v>
      </c>
      <c r="M20" s="1">
        <v>3.1199999999999999E-5</v>
      </c>
      <c r="N20" s="1">
        <v>2.9000000000000001E-2</v>
      </c>
    </row>
    <row r="21" spans="1:14" s="1" customFormat="1" x14ac:dyDescent="0.2">
      <c r="A21" s="1" t="s">
        <v>40</v>
      </c>
      <c r="B21" s="1" t="s">
        <v>41</v>
      </c>
      <c r="C21" s="1">
        <v>25</v>
      </c>
      <c r="D21" s="1">
        <v>27</v>
      </c>
      <c r="E21" s="1">
        <f t="shared" si="0"/>
        <v>8.6511177244099941E-4</v>
      </c>
      <c r="F21" s="1">
        <f t="shared" si="1"/>
        <v>2.6203161848196348E-4</v>
      </c>
      <c r="G21" s="1" t="s">
        <v>80</v>
      </c>
      <c r="H21" s="1">
        <v>3.3</v>
      </c>
      <c r="I21" s="1">
        <v>1.8</v>
      </c>
      <c r="J21" s="1">
        <v>5.9</v>
      </c>
      <c r="K21" s="2">
        <v>4.9599999999999999E-5</v>
      </c>
      <c r="L21" s="1" t="s">
        <v>63</v>
      </c>
      <c r="M21" s="1">
        <v>4.9599999999999999E-5</v>
      </c>
      <c r="N21" s="1">
        <v>4.24E-2</v>
      </c>
    </row>
    <row r="22" spans="1:14" s="1" customFormat="1" x14ac:dyDescent="0.2">
      <c r="A22" s="1" t="s">
        <v>42</v>
      </c>
      <c r="B22" s="1" t="s">
        <v>43</v>
      </c>
      <c r="C22" s="1">
        <v>22</v>
      </c>
      <c r="D22" s="1">
        <v>33</v>
      </c>
      <c r="E22" s="1">
        <f t="shared" si="0"/>
        <v>7.612983597480794E-4</v>
      </c>
      <c r="F22" s="1">
        <f t="shared" si="1"/>
        <v>3.2026086703351096E-4</v>
      </c>
      <c r="G22" s="1" t="s">
        <v>81</v>
      </c>
      <c r="H22" s="1">
        <v>3.2</v>
      </c>
      <c r="I22" s="1">
        <v>1.8</v>
      </c>
      <c r="J22" s="1">
        <v>5.6</v>
      </c>
      <c r="K22" s="2">
        <v>4.9700000000000002E-5</v>
      </c>
      <c r="L22" s="1" t="s">
        <v>63</v>
      </c>
      <c r="M22" s="1">
        <v>4.9700000000000002E-5</v>
      </c>
      <c r="N22" s="1">
        <v>4.24E-2</v>
      </c>
    </row>
    <row r="23" spans="1:14" s="1" customFormat="1" x14ac:dyDescent="0.2">
      <c r="A23" s="1" t="s">
        <v>44</v>
      </c>
      <c r="B23" s="1" t="s">
        <v>45</v>
      </c>
      <c r="C23" s="1">
        <v>10</v>
      </c>
      <c r="D23" s="1">
        <v>4</v>
      </c>
      <c r="E23" s="1">
        <f t="shared" si="0"/>
        <v>3.4604470897639977E-4</v>
      </c>
      <c r="F23" s="1">
        <f t="shared" si="1"/>
        <v>3.8819499034364961E-5</v>
      </c>
      <c r="G23" s="1" t="s">
        <v>82</v>
      </c>
      <c r="H23" s="1">
        <v>6.6</v>
      </c>
      <c r="I23" s="1">
        <v>2</v>
      </c>
      <c r="J23" s="1">
        <v>21.8</v>
      </c>
      <c r="K23" s="2">
        <v>5.5800000000000001E-5</v>
      </c>
      <c r="L23" s="1" t="s">
        <v>63</v>
      </c>
      <c r="M23" s="1">
        <v>5.5800000000000001E-5</v>
      </c>
      <c r="N23" s="1">
        <v>4.3900000000000002E-2</v>
      </c>
    </row>
    <row r="24" spans="1:14" s="1" customFormat="1" x14ac:dyDescent="0.2">
      <c r="A24" s="1" t="s">
        <v>46</v>
      </c>
      <c r="B24" s="1" t="s">
        <v>47</v>
      </c>
      <c r="C24" s="1">
        <v>12</v>
      </c>
      <c r="D24" s="1">
        <v>5</v>
      </c>
      <c r="E24" s="1">
        <f t="shared" si="0"/>
        <v>4.1525365077167968E-4</v>
      </c>
      <c r="F24" s="1">
        <f t="shared" si="1"/>
        <v>4.8524373792956201E-5</v>
      </c>
      <c r="G24" s="1" t="s">
        <v>83</v>
      </c>
      <c r="H24" s="1">
        <v>10.4</v>
      </c>
      <c r="I24" s="1">
        <v>3</v>
      </c>
      <c r="J24" s="1">
        <v>35.5</v>
      </c>
      <c r="K24" s="2">
        <v>1.17E-4</v>
      </c>
      <c r="L24" s="1" t="s">
        <v>63</v>
      </c>
      <c r="M24" s="1">
        <v>5.8199999999999998E-5</v>
      </c>
      <c r="N24" s="1">
        <v>4.4600000000000001E-2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dcterms:created xsi:type="dcterms:W3CDTF">2026-07-15T08:51:30Z</dcterms:created>
  <dcterms:modified xsi:type="dcterms:W3CDTF">2026-07-15T10:06:35Z</dcterms:modified>
</cp:coreProperties>
</file>